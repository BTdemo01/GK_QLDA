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E8D272E-89B8-4B24-B303-75B4FFA8DA9C}" xr6:coauthVersionLast="47" xr6:coauthVersionMax="47" xr10:uidLastSave="{00000000-0000-0000-0000-000000000000}"/>
  <bookViews>
    <workbookView xWindow="-108" yWindow="-108" windowWidth="23256" windowHeight="12456" activeTab="4" xr2:uid="{336EB33C-4803-480A-8AD3-065E9541CD9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5" l="1"/>
  <c r="B14" i="3"/>
  <c r="F13" i="3"/>
  <c r="C6" i="3"/>
  <c r="D6" i="3"/>
  <c r="E6" i="3"/>
  <c r="C13" i="3"/>
  <c r="D13" i="3"/>
  <c r="E13" i="3"/>
  <c r="B13" i="3"/>
  <c r="F12" i="3"/>
  <c r="F11" i="3"/>
  <c r="B6" i="3"/>
  <c r="B7" i="3"/>
  <c r="F5" i="3"/>
  <c r="F4" i="3"/>
  <c r="B16" i="2"/>
  <c r="B17" i="2"/>
  <c r="B18" i="2"/>
  <c r="B19" i="2"/>
  <c r="B20" i="2"/>
  <c r="B21" i="2"/>
  <c r="C13" i="2" a="1"/>
  <c r="C13" i="2" s="1"/>
  <c r="B13" i="2"/>
  <c r="B20" i="1"/>
  <c r="B19" i="1"/>
  <c r="D15" i="1"/>
  <c r="C15" i="1"/>
  <c r="B14" i="1"/>
  <c r="F6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<sst xmlns="http://schemas.openxmlformats.org/spreadsheetml/2006/main" count="87" uniqueCount="74">
  <si>
    <t>Tiêu chí</t>
  </si>
  <si>
    <t>Trọng số(%)</t>
  </si>
  <si>
    <t>Tổng</t>
  </si>
  <si>
    <t>Điểm dự án có trọng số</t>
  </si>
  <si>
    <t>Khả năng tái sử dụng/mở rộng về sau</t>
  </si>
  <si>
    <t>Phù hợp mục tiêu &amp; phạm vi</t>
  </si>
  <si>
    <t>Giá trị/Hiệu quả mong đợi</t>
  </si>
  <si>
    <t>Tiến độ/Khả thi thời gian</t>
  </si>
  <si>
    <t>Rủi ro tổng thể</t>
  </si>
  <si>
    <t>Khả năng mở rộng &amp; hiệu năng</t>
  </si>
  <si>
    <t>Bảo mật &amp; tuân thủ</t>
  </si>
  <si>
    <t>Khả năng tích hợp</t>
  </si>
  <si>
    <t>Khả năng vận hành/bảo trì</t>
  </si>
  <si>
    <t>Dễ sử dụng (UX)</t>
  </si>
  <si>
    <t>Tài liệu &amp; hỗ trợ</t>
  </si>
  <si>
    <t>Chi phí vòng đời</t>
  </si>
  <si>
    <t>Tên phương án</t>
  </si>
  <si>
    <t>Điểm</t>
  </si>
  <si>
    <t>Project 1 – Tự phát triển</t>
  </si>
  <si>
    <t>Project 2 – Mua</t>
  </si>
  <si>
    <t>MA TRẬN TRỌNG SỐ CHO HỆ THỐNG THI TRẮC NGHIỆM</t>
  </si>
  <si>
    <t>Tiêu chí (Chức năng)</t>
  </si>
  <si>
    <t>Trọng số (%)</t>
  </si>
  <si>
    <t>Quản lý ngân hàng câu hỏi</t>
  </si>
  <si>
    <t>Soạn &amp; trộn đề thi</t>
  </si>
  <si>
    <t>Tổ chức &amp; giám sát kỳ thi</t>
  </si>
  <si>
    <t>Làm bài thi</t>
  </si>
  <si>
    <t>Chấm điểm &amp; thống kê</t>
  </si>
  <si>
    <t>Quản lý tài khoản &amp; phân quyền</t>
  </si>
  <si>
    <t>Giao diện thân thiện, dễ dùng, dễ nhớ</t>
  </si>
  <si>
    <t>Tốc độ truy cập, xử lý nhanh</t>
  </si>
  <si>
    <t>Hỗ trợ đa người dùng, đa ngôn ngữ</t>
  </si>
  <si>
    <t>Nội dung phong phú, dễ bảo trì</t>
  </si>
  <si>
    <t>Chức năng đăng nhập / ghi log</t>
  </si>
  <si>
    <t>Đa dạng hình ảnh, âm thanh</t>
  </si>
  <si>
    <t>Tính linh hoạt, sẵn sàng mở rộng</t>
  </si>
  <si>
    <t>Tính ổn định, ít lỗi</t>
  </si>
  <si>
    <t>An toàn dữ liệu, bảo mật</t>
  </si>
  <si>
    <t>Khả năng tích hợp (import/export, API)</t>
  </si>
  <si>
    <t>Chức năng</t>
  </si>
  <si>
    <t>Quản lý tài khoản và phân quyền</t>
  </si>
  <si>
    <t>Chấm điểm và thống kê</t>
  </si>
  <si>
    <t>Năm</t>
  </si>
  <si>
    <t>Lợi ích</t>
  </si>
  <si>
    <t>Chi phí</t>
  </si>
  <si>
    <t>Tỷ lệ chiết khấu</t>
  </si>
  <si>
    <t>Project1</t>
  </si>
  <si>
    <t>YEAR1</t>
  </si>
  <si>
    <t>YEAR2</t>
  </si>
  <si>
    <t>YEAR3</t>
  </si>
  <si>
    <t>YEAR4</t>
  </si>
  <si>
    <t>TOTAL</t>
  </si>
  <si>
    <t>Dòng tiền ròng</t>
  </si>
  <si>
    <t>Giá trị hiện tại ròng</t>
  </si>
  <si>
    <t>Project 2</t>
  </si>
  <si>
    <t>Nội dung</t>
  </si>
  <si>
    <t>Chi phí (Costs)</t>
  </si>
  <si>
    <t>Hệ số chiết khấu (Discount factor)</t>
  </si>
  <si>
    <t>Chi phí sau chiết khấu (Discounted costs)</t>
  </si>
  <si>
    <t>Lợi ích (Benefits)</t>
  </si>
  <si>
    <t>Lợi ích sau chiết khấu (Discounted benefits)</t>
  </si>
  <si>
    <t>Lợi ích sau CK − Chi phí sau CK</t>
  </si>
  <si>
    <t>Lũy kế (Lợi ích − Chi phí)</t>
  </si>
  <si>
    <t>ROI (Tỷ suất hoàn vốn)</t>
  </si>
  <si>
    <t>Payback (Thời gian hoàn vốn)</t>
  </si>
  <si>
    <t>Năm 0</t>
  </si>
  <si>
    <t>Năm 1</t>
  </si>
  <si>
    <t>Năm 2</t>
  </si>
  <si>
    <t>Chi phí sau CK</t>
  </si>
  <si>
    <t>Lợi ích sau CK</t>
  </si>
  <si>
    <t>Chi phí lũy kế</t>
  </si>
  <si>
    <t>Lợi ích lũy kế</t>
  </si>
  <si>
    <t>Năm_vạch</t>
  </si>
  <si>
    <t>Giá trị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</si>
</sst>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9" fontId="2" fillId="0" borderId="0" xfId="0" applyNumberFormat="1" applyFont="1"/>
    <xf numFmtId="0" fontId="3" fillId="0" borderId="0" xfId="0" applyFo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1" i="0" u="none" strike="noStrike" baseline="0"/>
              <a:t>Điểm trọng số </a:t>
            </a:r>
            <a:r>
              <a:rPr lang="en-US" sz="1400" b="1" i="0" u="none" strike="noStrike" baseline="0"/>
              <a:t>của xây dựng phần mềm gthi trắc nghiệm</a:t>
            </a:r>
            <a:r>
              <a:rPr lang="vi-VN" sz="1400" b="0" i="0" u="none" strike="noStrike" baseline="0"/>
              <a:t>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Điểm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Sheet1!$A$19:$A$20</c:f>
              <c:strCache>
                <c:ptCount val="2"/>
                <c:pt idx="0">
                  <c:v>Project 1 – Tự phát triển</c:v>
                </c:pt>
                <c:pt idx="1">
                  <c:v>Project 2 – Mua</c:v>
                </c:pt>
              </c:strCache>
            </c:strRef>
          </c:cat>
          <c:val>
            <c:numRef>
              <c:f>Sheet1!$B$19:$B$20</c:f>
              <c:numCache>
                <c:formatCode>General</c:formatCode>
                <c:ptCount val="2"/>
                <c:pt idx="0">
                  <c:v>84.53</c:v>
                </c:pt>
                <c:pt idx="1">
                  <c:v>86.72999999999999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4-4F20-93A0-944B20BDC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1040047"/>
        <c:axId val="1441033807"/>
      </c:barChart>
      <c:catAx>
        <c:axId val="1441040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33807"/>
        <c:crosses val="autoZero"/>
        <c:auto val="1"/>
        <c:lblAlgn val="ctr"/>
        <c:lblOffset val="100"/>
        <c:noMultiLvlLbl val="0"/>
      </c:catAx>
      <c:valAx>
        <c:axId val="144103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4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Sheet2!$B$15</c:f>
              <c:strCache>
                <c:ptCount val="1"/>
                <c:pt idx="0">
                  <c:v>Điểm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Sheet2!$A$16:$A$21</c:f>
              <c:strCache>
                <c:ptCount val="6"/>
                <c:pt idx="0">
                  <c:v>Quản lý tài khoản và phân quyền</c:v>
                </c:pt>
                <c:pt idx="1">
                  <c:v>Chấm điểm và thống kê</c:v>
                </c:pt>
                <c:pt idx="2">
                  <c:v>Làm bài thi</c:v>
                </c:pt>
                <c:pt idx="3">
                  <c:v>Tổ chức &amp; giám sát kỳ thi</c:v>
                </c:pt>
                <c:pt idx="4">
                  <c:v>Soạn &amp; trộn đề thi</c:v>
                </c:pt>
                <c:pt idx="5">
                  <c:v>Quản lý ngân hàng câu hỏi</c:v>
                </c:pt>
              </c:strCache>
            </c:strRef>
          </c:cat>
          <c:val>
            <c:numRef>
              <c:f>Sheet2!$B$16:$B$21</c:f>
              <c:numCache>
                <c:formatCode>General</c:formatCode>
                <c:ptCount val="6"/>
                <c:pt idx="0">
                  <c:v>80</c:v>
                </c:pt>
                <c:pt idx="1">
                  <c:v>79.199999999999989</c:v>
                </c:pt>
                <c:pt idx="2">
                  <c:v>77.75</c:v>
                </c:pt>
                <c:pt idx="3">
                  <c:v>78.349999999999994</c:v>
                </c:pt>
                <c:pt idx="4">
                  <c:v>80.300000000000011</c:v>
                </c:pt>
                <c:pt idx="5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E-4F1B-A5A4-DF3E360BB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1074127"/>
        <c:axId val="1441074607"/>
      </c:barChart>
      <c:catAx>
        <c:axId val="1441074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74607"/>
        <c:crosses val="autoZero"/>
        <c:auto val="1"/>
        <c:lblAlgn val="ctr"/>
        <c:lblOffset val="100"/>
        <c:noMultiLvlLbl val="0"/>
      </c:catAx>
      <c:valAx>
        <c:axId val="144107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7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Sheet5!$E$1:$E$5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12.9</c:v>
                </c:pt>
                <c:pt idx="3">
                  <c:v>31.1</c:v>
                </c:pt>
                <c:pt idx="4">
                  <c:v>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8-48A5-AA9E-0DD30FE0026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Sheet5!$A$1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A8-48A5-AA9E-0DD30FE0026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Sheet5!$A$2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A8-48A5-AA9E-0DD30FE0026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Sheet5!$A$3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A8-48A5-AA9E-0DD30FE0026C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Sheet5!$A$4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A8-48A5-AA9E-0DD30FE0026C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Sheet5!$A$5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A8-48A5-AA9E-0DD30FE0026C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Sheet5!$D$1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A8-48A5-AA9E-0DD30FE0026C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Sheet5!$D$2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0A8-48A5-AA9E-0DD30FE0026C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Sheet5!$D$3</c:f>
              <c:numCache>
                <c:formatCode>General</c:formatCode>
                <c:ptCount val="1"/>
                <c:pt idx="0">
                  <c:v>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A8-48A5-AA9E-0DD30FE0026C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Sheet5!$D$4</c:f>
              <c:numCache>
                <c:formatCode>General</c:formatCode>
                <c:ptCount val="1"/>
                <c:pt idx="0">
                  <c:v>35.6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0A8-48A5-AA9E-0DD30FE0026C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Sheet5!$D$5</c:f>
              <c:numCache>
                <c:formatCode>General</c:formatCode>
                <c:ptCount val="1"/>
                <c:pt idx="0">
                  <c:v>39.6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0A8-48A5-AA9E-0DD30FE00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1062127"/>
        <c:axId val="1441062607"/>
      </c:lineChart>
      <c:catAx>
        <c:axId val="1441062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62607"/>
        <c:crosses val="autoZero"/>
        <c:auto val="1"/>
        <c:lblAlgn val="ctr"/>
        <c:lblOffset val="100"/>
        <c:noMultiLvlLbl val="0"/>
      </c:catAx>
      <c:valAx>
        <c:axId val="144106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62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2177</xdr:colOff>
      <xdr:row>16</xdr:row>
      <xdr:rowOff>136616</xdr:rowOff>
    </xdr:from>
    <xdr:to>
      <xdr:col>1</xdr:col>
      <xdr:colOff>548640</xdr:colOff>
      <xdr:row>32</xdr:row>
      <xdr:rowOff>68036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B03D18-04A5-BF4A-B129-3750BEB62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72390</xdr:rowOff>
    </xdr:from>
    <xdr:to>
      <xdr:col>2</xdr:col>
      <xdr:colOff>464820</xdr:colOff>
      <xdr:row>29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8B1B05-BCAA-933E-9911-22B7D9DF7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1135380</xdr:colOff>
      <xdr:row>6</xdr:row>
      <xdr:rowOff>34290</xdr:rowOff>
    </xdr:from>
    <xdr:to>
      <xdr:col>3</xdr:col>
      <xdr:colOff>883920</xdr:colOff>
      <xdr:row>21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8E3EC0-A974-3366-979F-99F2614F4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059F-8487-4A48-A5B4-4D5C5382EA91}">
  <dimension ref="A1:D20"/>
  <sheetViews>
    <sheetView zoomScale="70" zoomScaleNormal="70" workbookViewId="0">
      <selection activeCell="C23" sqref="C23"/>
    </sheetView>
  </sheetViews>
  <sheetFormatPr defaultRowHeight="13.8" x14ac:dyDescent="0.25"/>
  <cols>
    <col min="1" max="1" width="58.77734375" style="2" customWidth="1"/>
    <col min="2" max="2" width="27.21875" style="2" customWidth="1"/>
    <col min="3" max="3" width="29.109375" style="2" customWidth="1"/>
    <col min="4" max="4" width="22.77734375" style="2" customWidth="1"/>
    <col min="5" max="16384" width="8.88671875" style="2"/>
  </cols>
  <sheetData>
    <row r="1" spans="1:4" s="1" customFormat="1" x14ac:dyDescent="0.25">
      <c r="A1" s="1" t="s">
        <v>0</v>
      </c>
      <c r="B1" s="1" t="s">
        <v>1</v>
      </c>
      <c r="C1" s="1" t="s">
        <v>18</v>
      </c>
      <c r="D1" s="1" t="s">
        <v>19</v>
      </c>
    </row>
    <row r="2" spans="1:4" x14ac:dyDescent="0.25">
      <c r="A2" s="2" t="s">
        <v>5</v>
      </c>
      <c r="B2" s="4">
        <v>0.1</v>
      </c>
      <c r="C2" s="2">
        <v>85</v>
      </c>
      <c r="D2" s="2">
        <v>70</v>
      </c>
    </row>
    <row r="3" spans="1:4" x14ac:dyDescent="0.25">
      <c r="A3" s="2" t="s">
        <v>6</v>
      </c>
      <c r="B3" s="4">
        <v>0.12</v>
      </c>
      <c r="C3" s="2">
        <v>90</v>
      </c>
      <c r="D3" s="2">
        <v>95</v>
      </c>
    </row>
    <row r="4" spans="1:4" x14ac:dyDescent="0.25">
      <c r="A4" s="2" t="s">
        <v>15</v>
      </c>
      <c r="B4" s="4">
        <v>0.12</v>
      </c>
      <c r="C4" s="2">
        <v>88</v>
      </c>
      <c r="D4" s="2">
        <v>90</v>
      </c>
    </row>
    <row r="5" spans="1:4" x14ac:dyDescent="0.25">
      <c r="A5" s="2" t="s">
        <v>7</v>
      </c>
      <c r="B5" s="4">
        <v>0.1</v>
      </c>
      <c r="C5" s="2">
        <v>80</v>
      </c>
      <c r="D5" s="2">
        <v>88</v>
      </c>
    </row>
    <row r="6" spans="1:4" x14ac:dyDescent="0.25">
      <c r="A6" s="2" t="s">
        <v>8</v>
      </c>
      <c r="B6" s="4">
        <v>0.1</v>
      </c>
      <c r="C6" s="2">
        <v>92</v>
      </c>
      <c r="D6" s="2">
        <v>90</v>
      </c>
    </row>
    <row r="7" spans="1:4" x14ac:dyDescent="0.25">
      <c r="A7" s="2" t="s">
        <v>9</v>
      </c>
      <c r="B7" s="4">
        <v>0.08</v>
      </c>
      <c r="C7" s="2">
        <v>85</v>
      </c>
      <c r="D7" s="2">
        <v>92</v>
      </c>
    </row>
    <row r="8" spans="1:4" x14ac:dyDescent="0.25">
      <c r="A8" s="2" t="s">
        <v>10</v>
      </c>
      <c r="B8" s="4">
        <v>0.08</v>
      </c>
      <c r="C8" s="2">
        <v>78</v>
      </c>
      <c r="D8" s="2">
        <v>85</v>
      </c>
    </row>
    <row r="9" spans="1:4" x14ac:dyDescent="0.25">
      <c r="A9" s="2" t="s">
        <v>11</v>
      </c>
      <c r="B9" s="4">
        <v>7.0000000000000007E-2</v>
      </c>
      <c r="C9" s="2">
        <v>82</v>
      </c>
      <c r="D9" s="2">
        <v>80</v>
      </c>
    </row>
    <row r="10" spans="1:4" x14ac:dyDescent="0.25">
      <c r="A10" s="2" t="s">
        <v>12</v>
      </c>
      <c r="B10" s="4">
        <v>0.06</v>
      </c>
      <c r="C10" s="2">
        <v>80</v>
      </c>
      <c r="D10" s="2">
        <v>95</v>
      </c>
    </row>
    <row r="11" spans="1:4" x14ac:dyDescent="0.25">
      <c r="A11" s="2" t="s">
        <v>13</v>
      </c>
      <c r="B11" s="4">
        <v>0.05</v>
      </c>
      <c r="C11" s="2">
        <v>75</v>
      </c>
      <c r="D11" s="2">
        <v>85</v>
      </c>
    </row>
    <row r="12" spans="1:4" x14ac:dyDescent="0.25">
      <c r="A12" s="2" t="s">
        <v>4</v>
      </c>
      <c r="B12" s="4">
        <v>0.05</v>
      </c>
      <c r="C12" s="2">
        <v>88</v>
      </c>
      <c r="D12" s="2">
        <v>80</v>
      </c>
    </row>
    <row r="13" spans="1:4" x14ac:dyDescent="0.25">
      <c r="A13" s="2" t="s">
        <v>14</v>
      </c>
      <c r="B13" s="4">
        <v>7.0000000000000007E-2</v>
      </c>
      <c r="C13" s="2">
        <v>82</v>
      </c>
      <c r="D13" s="2">
        <v>86</v>
      </c>
    </row>
    <row r="14" spans="1:4" x14ac:dyDescent="0.25">
      <c r="A14" s="2" t="s">
        <v>2</v>
      </c>
      <c r="B14" s="4">
        <f>SUM(B2:B13)</f>
        <v>1</v>
      </c>
    </row>
    <row r="15" spans="1:4" x14ac:dyDescent="0.25">
      <c r="A15" s="2" t="s">
        <v>3</v>
      </c>
      <c r="C15" s="2">
        <f>SUMPRODUCT($B$2:$B$13, C2:C13)</f>
        <v>84.53</v>
      </c>
      <c r="D15" s="2">
        <f>SUMPRODUCT($B$2:$B$13, D2:D13)</f>
        <v>86.72999999999999</v>
      </c>
    </row>
    <row r="18" spans="1:2" x14ac:dyDescent="0.25">
      <c r="A18" s="2" t="s">
        <v>16</v>
      </c>
      <c r="B18" s="2" t="s">
        <v>17</v>
      </c>
    </row>
    <row r="19" spans="1:2" x14ac:dyDescent="0.25">
      <c r="A19" s="2" t="s">
        <v>18</v>
      </c>
      <c r="B19" s="2">
        <f>C15</f>
        <v>84.53</v>
      </c>
    </row>
    <row r="20" spans="1:2" ht="14.4" x14ac:dyDescent="0.3">
      <c r="A20" t="s">
        <v>19</v>
      </c>
      <c r="B20">
        <f>D15</f>
        <v>86.72999999999999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A55F-00E0-43AB-A630-5E8536FB5A3A}">
  <dimension ref="A1:H21"/>
  <sheetViews>
    <sheetView workbookViewId="0">
      <selection activeCell="F20" sqref="F20"/>
    </sheetView>
  </sheetViews>
  <sheetFormatPr defaultRowHeight="13.8" x14ac:dyDescent="0.25"/>
  <cols>
    <col min="1" max="1" width="33.33203125" style="2" customWidth="1"/>
    <col min="2" max="2" width="26.5546875" style="2" customWidth="1"/>
    <col min="3" max="3" width="18.109375" style="2" customWidth="1"/>
    <col min="4" max="4" width="19.33203125" style="2" customWidth="1"/>
    <col min="5" max="5" width="26.5546875" style="2" customWidth="1"/>
    <col min="6" max="6" width="21" style="2" customWidth="1"/>
    <col min="7" max="7" width="20.109375" style="2" customWidth="1"/>
    <col min="8" max="8" width="32.21875" style="2" customWidth="1"/>
    <col min="9" max="9" width="21.77734375" style="2" customWidth="1"/>
    <col min="10" max="16384" width="8.88671875" style="2"/>
  </cols>
  <sheetData>
    <row r="1" spans="1:8" x14ac:dyDescent="0.25">
      <c r="A1" s="5" t="s">
        <v>20</v>
      </c>
    </row>
    <row r="2" spans="1: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</row>
    <row r="3" spans="1:8" x14ac:dyDescent="0.25">
      <c r="A3" s="2" t="s">
        <v>29</v>
      </c>
      <c r="B3" s="4">
        <v>0.15</v>
      </c>
      <c r="C3" s="2">
        <v>85</v>
      </c>
      <c r="D3" s="2">
        <v>80</v>
      </c>
      <c r="E3" s="2">
        <v>75</v>
      </c>
      <c r="F3" s="2">
        <v>78</v>
      </c>
      <c r="G3" s="2">
        <v>82</v>
      </c>
      <c r="H3" s="2">
        <v>76</v>
      </c>
    </row>
    <row r="4" spans="1:8" x14ac:dyDescent="0.25">
      <c r="A4" s="2" t="s">
        <v>30</v>
      </c>
      <c r="B4" s="4">
        <v>0.1</v>
      </c>
      <c r="C4" s="2">
        <v>90</v>
      </c>
      <c r="D4" s="2">
        <v>88</v>
      </c>
      <c r="E4" s="2">
        <v>80</v>
      </c>
      <c r="F4" s="2">
        <v>85</v>
      </c>
      <c r="G4" s="2">
        <v>84</v>
      </c>
      <c r="H4" s="2">
        <v>78</v>
      </c>
    </row>
    <row r="5" spans="1:8" x14ac:dyDescent="0.25">
      <c r="A5" s="2" t="s">
        <v>31</v>
      </c>
      <c r="B5" s="4">
        <v>0.1</v>
      </c>
      <c r="C5" s="2">
        <v>88</v>
      </c>
      <c r="D5" s="2">
        <v>82</v>
      </c>
      <c r="E5" s="2">
        <v>80</v>
      </c>
      <c r="F5" s="2">
        <v>78</v>
      </c>
      <c r="G5" s="2">
        <v>76</v>
      </c>
      <c r="H5" s="2">
        <v>85</v>
      </c>
    </row>
    <row r="6" spans="1:8" x14ac:dyDescent="0.25">
      <c r="A6" s="2" t="s">
        <v>32</v>
      </c>
      <c r="B6" s="4">
        <v>0.1</v>
      </c>
      <c r="C6" s="2">
        <v>92</v>
      </c>
      <c r="D6" s="2">
        <v>86</v>
      </c>
      <c r="E6" s="2">
        <v>78</v>
      </c>
      <c r="F6" s="2">
        <v>80</v>
      </c>
      <c r="G6" s="2">
        <v>84</v>
      </c>
      <c r="H6" s="2">
        <v>78</v>
      </c>
    </row>
    <row r="7" spans="1:8" x14ac:dyDescent="0.25">
      <c r="A7" s="2" t="s">
        <v>33</v>
      </c>
      <c r="B7" s="4">
        <v>0.1</v>
      </c>
      <c r="C7" s="2">
        <v>75</v>
      </c>
      <c r="D7" s="2">
        <v>72</v>
      </c>
      <c r="E7" s="2">
        <v>85</v>
      </c>
      <c r="F7" s="2">
        <v>70</v>
      </c>
      <c r="G7" s="2">
        <v>78</v>
      </c>
      <c r="H7" s="2">
        <v>90</v>
      </c>
    </row>
    <row r="8" spans="1:8" x14ac:dyDescent="0.25">
      <c r="A8" s="2" t="s">
        <v>34</v>
      </c>
      <c r="B8" s="4">
        <v>0.1</v>
      </c>
      <c r="C8" s="2">
        <v>70</v>
      </c>
      <c r="D8" s="2">
        <v>68</v>
      </c>
      <c r="E8" s="2">
        <v>65</v>
      </c>
      <c r="F8" s="2">
        <v>75</v>
      </c>
      <c r="G8" s="2">
        <v>70</v>
      </c>
      <c r="H8" s="2">
        <v>66</v>
      </c>
    </row>
    <row r="9" spans="1:8" x14ac:dyDescent="0.25">
      <c r="A9" s="2" t="s">
        <v>35</v>
      </c>
      <c r="B9" s="4">
        <v>0.15</v>
      </c>
      <c r="C9" s="2">
        <v>85</v>
      </c>
      <c r="D9" s="2">
        <v>82</v>
      </c>
      <c r="E9" s="2">
        <v>80</v>
      </c>
      <c r="F9" s="2">
        <v>78</v>
      </c>
      <c r="G9" s="2">
        <v>76</v>
      </c>
      <c r="H9" s="2">
        <v>80</v>
      </c>
    </row>
    <row r="10" spans="1:8" x14ac:dyDescent="0.25">
      <c r="A10" s="2" t="s">
        <v>36</v>
      </c>
      <c r="B10" s="4">
        <v>0.1</v>
      </c>
      <c r="C10" s="2">
        <v>88</v>
      </c>
      <c r="D10" s="2">
        <v>84</v>
      </c>
      <c r="E10" s="2">
        <v>82</v>
      </c>
      <c r="F10" s="2">
        <v>80</v>
      </c>
      <c r="G10" s="2">
        <v>82</v>
      </c>
      <c r="H10" s="2">
        <v>84</v>
      </c>
    </row>
    <row r="11" spans="1:8" x14ac:dyDescent="0.25">
      <c r="A11" s="2" t="s">
        <v>37</v>
      </c>
      <c r="B11" s="4">
        <v>0.05</v>
      </c>
      <c r="C11" s="2">
        <v>78</v>
      </c>
      <c r="D11" s="2">
        <v>76</v>
      </c>
      <c r="E11" s="2">
        <v>80</v>
      </c>
      <c r="F11" s="2">
        <v>75</v>
      </c>
      <c r="G11" s="2">
        <v>80</v>
      </c>
      <c r="H11" s="2">
        <v>90</v>
      </c>
    </row>
    <row r="12" spans="1:8" x14ac:dyDescent="0.25">
      <c r="A12" s="2" t="s">
        <v>38</v>
      </c>
      <c r="B12" s="4">
        <v>0.05</v>
      </c>
      <c r="C12" s="2">
        <v>86</v>
      </c>
      <c r="D12" s="2">
        <v>84</v>
      </c>
      <c r="E12" s="2">
        <v>82</v>
      </c>
      <c r="F12" s="2">
        <v>76</v>
      </c>
      <c r="G12" s="2">
        <v>82</v>
      </c>
      <c r="H12" s="2">
        <v>80</v>
      </c>
    </row>
    <row r="13" spans="1:8" ht="14.4" x14ac:dyDescent="0.3">
      <c r="B13" s="3">
        <f>SUM(B3:B12)</f>
        <v>1</v>
      </c>
      <c r="C13" cm="1">
        <f t="array" ref="C13:H13">_xlfn.BYCOL(C3:H12, _xlfn.LAMBDA(_xlpm.col, SUMPRODUCT($B$3:$B$12, _xlpm.col)))</f>
        <v>84</v>
      </c>
      <c r="D13" s="2">
        <v>80.300000000000011</v>
      </c>
      <c r="E13" s="2">
        <v>78.349999999999994</v>
      </c>
      <c r="F13" s="2">
        <v>77.75</v>
      </c>
      <c r="G13" s="2">
        <v>79.199999999999989</v>
      </c>
      <c r="H13" s="2">
        <v>80</v>
      </c>
    </row>
    <row r="15" spans="1:8" x14ac:dyDescent="0.25">
      <c r="A15" s="2" t="s">
        <v>39</v>
      </c>
      <c r="B15" s="2" t="s">
        <v>17</v>
      </c>
    </row>
    <row r="16" spans="1:8" x14ac:dyDescent="0.25">
      <c r="A16" s="2" t="s">
        <v>40</v>
      </c>
      <c r="B16" s="2">
        <f>H13</f>
        <v>80</v>
      </c>
    </row>
    <row r="17" spans="1:2" x14ac:dyDescent="0.25">
      <c r="A17" s="2" t="s">
        <v>41</v>
      </c>
      <c r="B17" s="2">
        <f>G13</f>
        <v>79.199999999999989</v>
      </c>
    </row>
    <row r="18" spans="1:2" x14ac:dyDescent="0.25">
      <c r="A18" s="2" t="s">
        <v>26</v>
      </c>
      <c r="B18" s="2">
        <f>F13</f>
        <v>77.75</v>
      </c>
    </row>
    <row r="19" spans="1:2" x14ac:dyDescent="0.25">
      <c r="A19" s="2" t="s">
        <v>25</v>
      </c>
      <c r="B19" s="2">
        <f>E13</f>
        <v>78.349999999999994</v>
      </c>
    </row>
    <row r="20" spans="1:2" x14ac:dyDescent="0.25">
      <c r="A20" s="2" t="s">
        <v>24</v>
      </c>
      <c r="B20" s="2">
        <f>D13</f>
        <v>80.300000000000011</v>
      </c>
    </row>
    <row r="21" spans="1:2" x14ac:dyDescent="0.25">
      <c r="A21" s="2" t="s">
        <v>23</v>
      </c>
      <c r="B21" s="2">
        <f>C13</f>
        <v>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FDB16-1D28-4DB4-B113-FE7C401BDADF}">
  <dimension ref="A1:F14"/>
  <sheetViews>
    <sheetView workbookViewId="0">
      <selection activeCell="H18" sqref="H18"/>
    </sheetView>
  </sheetViews>
  <sheetFormatPr defaultRowHeight="14.4" x14ac:dyDescent="0.3"/>
  <cols>
    <col min="1" max="1" width="33.33203125" customWidth="1"/>
  </cols>
  <sheetData>
    <row r="1" spans="1:6" x14ac:dyDescent="0.3">
      <c r="A1" t="s">
        <v>45</v>
      </c>
    </row>
    <row r="3" spans="1:6" x14ac:dyDescent="0.3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</row>
    <row r="4" spans="1:6" x14ac:dyDescent="0.3">
      <c r="A4" t="s">
        <v>43</v>
      </c>
      <c r="B4">
        <v>8</v>
      </c>
      <c r="C4">
        <v>14</v>
      </c>
      <c r="D4">
        <v>20</v>
      </c>
      <c r="E4">
        <v>26</v>
      </c>
      <c r="F4">
        <f>SUM(B4:E4)</f>
        <v>68</v>
      </c>
    </row>
    <row r="5" spans="1:6" x14ac:dyDescent="0.3">
      <c r="A5" t="s">
        <v>44</v>
      </c>
      <c r="B5">
        <v>18</v>
      </c>
      <c r="C5">
        <v>7</v>
      </c>
      <c r="D5">
        <v>5</v>
      </c>
      <c r="E5">
        <v>3</v>
      </c>
      <c r="F5">
        <f>SUM(B5:E5)</f>
        <v>33</v>
      </c>
    </row>
    <row r="6" spans="1:6" x14ac:dyDescent="0.3">
      <c r="A6" t="s">
        <v>52</v>
      </c>
      <c r="B6">
        <f>B4-B5</f>
        <v>-10</v>
      </c>
      <c r="C6">
        <f t="shared" ref="C6:E6" si="0">C4-C5</f>
        <v>7</v>
      </c>
      <c r="D6">
        <f t="shared" si="0"/>
        <v>15</v>
      </c>
      <c r="E6">
        <f t="shared" si="0"/>
        <v>23</v>
      </c>
      <c r="F6">
        <f>SUM(B6:E6)</f>
        <v>35</v>
      </c>
    </row>
    <row r="7" spans="1:6" x14ac:dyDescent="0.3">
      <c r="A7" t="s">
        <v>53</v>
      </c>
      <c r="B7" s="6">
        <f>NPV($B$1, B6:E6)</f>
        <v>35</v>
      </c>
    </row>
    <row r="10" spans="1:6" x14ac:dyDescent="0.3">
      <c r="A10" t="s">
        <v>54</v>
      </c>
    </row>
    <row r="11" spans="1:6" x14ac:dyDescent="0.3">
      <c r="A11" t="s">
        <v>43</v>
      </c>
      <c r="B11">
        <v>12</v>
      </c>
      <c r="C11">
        <v>16</v>
      </c>
      <c r="D11">
        <v>17</v>
      </c>
      <c r="E11">
        <v>17</v>
      </c>
      <c r="F11">
        <f>SUM(B11:E11)</f>
        <v>62</v>
      </c>
    </row>
    <row r="12" spans="1:6" x14ac:dyDescent="0.3">
      <c r="A12" t="s">
        <v>44</v>
      </c>
      <c r="B12">
        <v>24</v>
      </c>
      <c r="C12">
        <v>10</v>
      </c>
      <c r="D12">
        <v>8</v>
      </c>
      <c r="E12">
        <v>6</v>
      </c>
      <c r="F12">
        <f>SUM(B12:E12)</f>
        <v>48</v>
      </c>
    </row>
    <row r="13" spans="1:6" x14ac:dyDescent="0.3">
      <c r="A13" t="s">
        <v>52</v>
      </c>
      <c r="B13">
        <f>B11-B12</f>
        <v>-12</v>
      </c>
      <c r="C13">
        <f t="shared" ref="C13:E13" si="1">C11-C12</f>
        <v>6</v>
      </c>
      <c r="D13">
        <f t="shared" si="1"/>
        <v>9</v>
      </c>
      <c r="E13">
        <f t="shared" si="1"/>
        <v>11</v>
      </c>
      <c r="F13">
        <f>SUM(B13:E13)</f>
        <v>14</v>
      </c>
    </row>
    <row r="14" spans="1:6" x14ac:dyDescent="0.3">
      <c r="A14" t="s">
        <v>53</v>
      </c>
      <c r="B14" s="6">
        <f>NPV($B$1, B13:E13)</f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F902-062E-4760-A5BA-F90A5DC5E93F}">
  <dimension ref="A1:E11"/>
  <sheetViews>
    <sheetView workbookViewId="0">
      <selection activeCell="H9" sqref="H9"/>
    </sheetView>
  </sheetViews>
  <sheetFormatPr defaultRowHeight="14.4" x14ac:dyDescent="0.3"/>
  <cols>
    <col min="1" max="1" width="32.33203125" customWidth="1"/>
    <col min="2" max="2" width="11.6640625" customWidth="1"/>
    <col min="3" max="3" width="11.44140625" customWidth="1"/>
    <col min="4" max="4" width="20.88671875" customWidth="1"/>
    <col min="5" max="5" width="19.33203125" customWidth="1"/>
  </cols>
  <sheetData>
    <row r="1" spans="1:5" x14ac:dyDescent="0.3">
      <c r="A1" t="s">
        <v>55</v>
      </c>
      <c r="B1" t="s">
        <v>65</v>
      </c>
      <c r="C1" t="s">
        <v>66</v>
      </c>
      <c r="D1" t="s">
        <v>67</v>
      </c>
      <c r="E1" t="s">
        <v>2</v>
      </c>
    </row>
    <row r="2" spans="1:5" x14ac:dyDescent="0.3">
      <c r="A2" t="s">
        <v>56</v>
      </c>
      <c r="B2">
        <v>30</v>
      </c>
      <c r="C2">
        <v>6</v>
      </c>
      <c r="D2">
        <v>6</v>
      </c>
    </row>
    <row r="3" spans="1:5" x14ac:dyDescent="0.3">
      <c r="A3" t="s">
        <v>57</v>
      </c>
      <c r="B3">
        <v>1</v>
      </c>
      <c r="C3">
        <v>0.90909090000000004</v>
      </c>
      <c r="D3">
        <v>0.82644629999999997</v>
      </c>
    </row>
    <row r="4" spans="1:5" x14ac:dyDescent="0.3">
      <c r="A4" t="s">
        <v>58</v>
      </c>
      <c r="B4">
        <v>30</v>
      </c>
      <c r="C4">
        <v>5.4545450000000004</v>
      </c>
      <c r="D4">
        <v>4.9586779999999999</v>
      </c>
      <c r="E4">
        <v>40.413223000000002</v>
      </c>
    </row>
    <row r="5" spans="1:5" x14ac:dyDescent="0.3">
      <c r="A5" t="s">
        <v>59</v>
      </c>
      <c r="B5">
        <v>0</v>
      </c>
      <c r="C5">
        <v>20</v>
      </c>
      <c r="D5">
        <v>28</v>
      </c>
    </row>
    <row r="6" spans="1:5" x14ac:dyDescent="0.3">
      <c r="A6" t="s">
        <v>57</v>
      </c>
      <c r="B6">
        <v>1</v>
      </c>
      <c r="C6">
        <v>0.90909090000000004</v>
      </c>
      <c r="D6">
        <v>0.82644629999999997</v>
      </c>
    </row>
    <row r="7" spans="1:5" x14ac:dyDescent="0.3">
      <c r="A7" t="s">
        <v>60</v>
      </c>
      <c r="B7">
        <v>0</v>
      </c>
      <c r="C7">
        <v>18.181818</v>
      </c>
      <c r="D7">
        <v>23.160495999999998</v>
      </c>
      <c r="E7">
        <v>41.342314000000002</v>
      </c>
    </row>
    <row r="8" spans="1:5" x14ac:dyDescent="0.3">
      <c r="A8" t="s">
        <v>61</v>
      </c>
      <c r="B8">
        <v>-30</v>
      </c>
      <c r="C8">
        <v>12.727273</v>
      </c>
      <c r="D8">
        <v>18.201817999999999</v>
      </c>
      <c r="E8">
        <v>0.929091</v>
      </c>
    </row>
    <row r="9" spans="1:5" x14ac:dyDescent="0.3">
      <c r="A9" t="s">
        <v>62</v>
      </c>
      <c r="B9">
        <v>-30</v>
      </c>
      <c r="C9">
        <v>-17.272727</v>
      </c>
      <c r="D9">
        <v>0.929091</v>
      </c>
      <c r="E9">
        <v>0.929091</v>
      </c>
    </row>
    <row r="10" spans="1:5" x14ac:dyDescent="0.3">
      <c r="A10" t="s">
        <v>63</v>
      </c>
      <c r="E10">
        <v>2.298E-2</v>
      </c>
    </row>
    <row r="11" spans="1:5" x14ac:dyDescent="0.3">
      <c r="A11" t="s">
        <v>64</v>
      </c>
      <c r="E11">
        <v>1.95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80F0-270F-41CA-B52F-83C74A488543}">
  <dimension ref="A1:H5"/>
  <sheetViews>
    <sheetView tabSelected="1" workbookViewId="0">
      <selection activeCell="E19" sqref="E19"/>
    </sheetView>
  </sheetViews>
  <sheetFormatPr defaultRowHeight="14.4" x14ac:dyDescent="0.3"/>
  <cols>
    <col min="1" max="1" width="23.6640625" customWidth="1"/>
    <col min="2" max="2" width="27.6640625" customWidth="1"/>
    <col min="3" max="3" width="19" customWidth="1"/>
    <col min="4" max="4" width="18.109375" customWidth="1"/>
    <col min="5" max="5" width="28.6640625" customWidth="1"/>
  </cols>
  <sheetData>
    <row r="1" spans="1:8" x14ac:dyDescent="0.3">
      <c r="A1" t="s">
        <v>42</v>
      </c>
      <c r="B1" t="s">
        <v>68</v>
      </c>
      <c r="C1" t="s">
        <v>69</v>
      </c>
      <c r="D1" t="s">
        <v>70</v>
      </c>
      <c r="E1" t="s">
        <v>71</v>
      </c>
    </row>
    <row r="2" spans="1:8" x14ac:dyDescent="0.3">
      <c r="A2">
        <v>0</v>
      </c>
      <c r="B2">
        <v>24</v>
      </c>
      <c r="C2">
        <v>0</v>
      </c>
      <c r="D2">
        <v>24</v>
      </c>
      <c r="E2">
        <v>0</v>
      </c>
      <c r="G2" t="s">
        <v>72</v>
      </c>
      <c r="H2" t="s">
        <v>73</v>
      </c>
    </row>
    <row r="3" spans="1:8" x14ac:dyDescent="0.3">
      <c r="A3">
        <v>1</v>
      </c>
      <c r="B3">
        <v>6.5</v>
      </c>
      <c r="C3">
        <v>12.9</v>
      </c>
      <c r="D3">
        <v>30.5</v>
      </c>
      <c r="E3">
        <v>12.9</v>
      </c>
      <c r="G3">
        <v>2.23</v>
      </c>
      <c r="H3">
        <v>0</v>
      </c>
    </row>
    <row r="4" spans="1:8" x14ac:dyDescent="0.3">
      <c r="A4">
        <v>2</v>
      </c>
      <c r="B4">
        <v>5.0999999999999996</v>
      </c>
      <c r="C4">
        <v>18.2</v>
      </c>
      <c r="D4">
        <v>35.6</v>
      </c>
      <c r="E4">
        <v>31.1</v>
      </c>
      <c r="G4">
        <v>2.23</v>
      </c>
      <c r="H4">
        <f>MAX(E2:E5)</f>
        <v>50.9</v>
      </c>
    </row>
    <row r="5" spans="1:8" x14ac:dyDescent="0.3">
      <c r="A5">
        <v>3</v>
      </c>
      <c r="B5">
        <v>4</v>
      </c>
      <c r="C5">
        <v>19.8</v>
      </c>
      <c r="D5">
        <v>39.6</v>
      </c>
      <c r="E5">
        <v>50.9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Huyền</dc:creator>
  <cp:lastModifiedBy>Trần Huyền</cp:lastModifiedBy>
  <dcterms:created xsi:type="dcterms:W3CDTF">2025-11-02T14:34:32Z</dcterms:created>
  <dcterms:modified xsi:type="dcterms:W3CDTF">2025-11-02T18:28:13Z</dcterms:modified>
</cp:coreProperties>
</file>